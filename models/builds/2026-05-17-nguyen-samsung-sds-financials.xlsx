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nnanguyen/Desktop/Littlest Things/Littlest Thing sub/Study Abroad/VEMBA/Chương trình học /BUS 629 - Managerial Finance/AI Project/Samsung SDS/"/>
    </mc:Choice>
  </mc:AlternateContent>
  <xr:revisionPtr revIDLastSave="0" documentId="13_ncr:1_{985CAA98-FF8B-BF4C-A07D-F70D5675A8DA}" xr6:coauthVersionLast="47" xr6:coauthVersionMax="47" xr10:uidLastSave="{00000000-0000-0000-0000-000000000000}"/>
  <bookViews>
    <workbookView xWindow="5160" yWindow="760" windowWidth="24240" windowHeight="17000" activeTab="5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F75" i="5"/>
  <c r="C38" i="5"/>
  <c r="C36" i="5"/>
  <c r="C32" i="5"/>
  <c r="C29" i="5"/>
  <c r="C28" i="5"/>
  <c r="C25" i="5"/>
  <c r="C24" i="5"/>
  <c r="C23" i="5"/>
  <c r="C19" i="5"/>
  <c r="C17" i="5"/>
  <c r="C16" i="5"/>
  <c r="C15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<sst xmlns="http://schemas.openxmlformats.org/spreadsheetml/2006/main" count="378" uniqueCount="359">
  <si>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</si>
  <si>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</si>
  <si>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</si>
  <si>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</si>
  <si>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</si>
  <si>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</si>
  <si>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</si>
  <si>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</si>
  <si>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</si>
  <si>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</si>
  <si>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</si>
  <si>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</si>
  <si>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</si>
  <si>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</si>
  <si>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</si>
  <si>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</si>
  <si>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</si>
  <si>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</si>
  <si>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</si>
  <si>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</si>
  <si>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</si>
  <si>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</si>
  <si>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</si>
  <si>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</si>
  <si>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</si>
  <si>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</si>
  <si>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</si>
  <si>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</si>
  <si>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</si>
  <si>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</si>
  <si>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</si>
  <si>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</si>
  <si>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</si>
  <si>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</si>
  <si>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</si>
  <si>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</si>
  <si>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</si>
  <si>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</si>
  <si>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</si>
  <si>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</si>
  <si>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</si>
  <si>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</si>
  <si>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</si>
  <si>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</si>
  <si>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</si>
  <si>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</si>
  <si>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</si>
  <si>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</si>
  <si>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</si>
  <si>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</si>
  <si>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</si>
  <si>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</si>
  <si>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</si>
  <si>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</si>
  <si>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</si>
  <si>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</si>
  <si>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</si>
  <si>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</si>
  <si>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</si>
  <si>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</si>
  <si>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</si>
  <si>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</si>
  <si>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</si>
  <si>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</si>
  <si>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</si>
  <si>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</si>
  <si>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</si>
  <si>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</si>
  <si>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</si>
  <si>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</si>
  <si>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</si>
  <si>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</si>
  <si>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</si>
  <si>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</si>
  <si>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</si>
  <si>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</si>
  <si>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</si>
  <si>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</si>
  <si>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</si>
  <si>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</si>
  <si>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</si>
  <si>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</si>
  <si>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</si>
  <si>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</si>
  <si>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</si>
  <si>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</si>
  <si>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</si>
  <si>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</si>
  <si>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</si>
  <si>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</si>
  <si>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</si>
  <si>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</si>
  <si>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</si>
  <si>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</si>
  <si>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</si>
  <si>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</si>
  <si>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</si>
  <si>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</si>
  <si>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</si>
  <si>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</si>
  <si>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</si>
  <si>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</si>
  <si>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</si>
  <si>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</si>
  <si>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</si>
  <si>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</si>
  <si>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</si>
  <si>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</si>
  <si>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</si>
  <si>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</si>
  <si>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</si>
  <si>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</si>
  <si>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</si>
  <si>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</si>
  <si>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</si>
  <si>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</si>
  <si>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</si>
  <si>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</si>
  <si>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</si>
  <si>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</si>
  <si>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</si>
  <si>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</si>
  <si>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</si>
  <si>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</si>
  <si>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</si>
  <si>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</si>
  <si>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</si>
  <si>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</si>
  <si>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</si>
  <si>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</si>
  <si>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</si>
  <si>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</si>
  <si>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</si>
  <si>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</si>
  <si>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</si>
  <si>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</si>
  <si>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</si>
  <si>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</si>
  <si>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</si>
  <si>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</si>
  <si>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</si>
  <si>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</si>
  <si>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</si>
  <si>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</si>
  <si>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</si>
  <si>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</si>
  <si>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</si>
  <si>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</si>
  <si>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</si>
  <si>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</si>
  <si>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</si>
  <si>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</si>
  <si>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</si>
  <si>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</si>
  <si>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</si>
  <si>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</si>
  <si>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</si>
  <si>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</si>
  <si>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</si>
  <si>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</si>
  <si>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</si>
  <si>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</si>
  <si>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</si>
  <si>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</si>
  <si>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</si>
  <si>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</si>
  <si>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</si>
  <si>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</si>
  <si>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</si>
  <si>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</si>
  <si>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</si>
  <si>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</si>
  <si>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</si>
  <si>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</si>
  <si>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</si>
  <si>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</si>
  <si>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</si>
  <si>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</si>
  <si>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</si>
  <si>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</si>
  <si>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</si>
  <si>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</si>
  <si>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</si>
  <si>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</si>
  <si>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</si>
  <si>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</si>
  <si>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</si>
  <si>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</si>
  <si>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</si>
  <si>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</si>
  <si>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</si>
  <si>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</si>
  <si>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</si>
  <si>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</si>
  <si>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</si>
  <si>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</si>
  <si>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</si>
  <si>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</si>
  <si>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</si>
  <si>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</si>
  <si>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</si>
  <si>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</si>
  <si>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</si>
  <si>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</si>
  <si>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</si>
  <si>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</si>
  <si>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</si>
  <si>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</si>
  <si>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</si>
  <si>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</si>
  <si>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</si>
  <si>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</si>
  <si>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</si>
  <si>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</si>
  <si>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</si>
  <si>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</si>
  <si>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</si>
  <si>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</si>
  <si>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</si>
  <si>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</si>
  <si>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</si>
  <si>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</si>
  <si>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</si>
  <si>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</si>
  <si>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</si>
  <si>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</si>
  <si>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</si>
  <si>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</si>
  <si>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</si>
  <si>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</si>
  <si>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</si>
  <si>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</si>
  <si>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</si>
  <si>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</si>
  <si>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</si>
  <si>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</si>
  <si>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</si>
  <si>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</si>
  <si>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</si>
  <si>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</si>
  <si>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</si>
  <si>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</si>
  <si>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</si>
  <si>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</si>
  <si>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</si>
  <si>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</si>
  <si>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</si>
  <si>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</si>
  <si>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</si>
  <si>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</si>
  <si>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</si>
  <si>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</si>
  <si>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</si>
  <si>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</si>
  <si>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</si>
  <si>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</si>
  <si>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</si>
  <si>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</si>
  <si>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</si>
  <si>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</si>
  <si>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</si>
  <si>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</si>
  <si>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</si>
  <si>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</si>
  <si>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</si>
  <si>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</si>
  <si>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</si>
  <si>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</si>
  <si>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</si>
  <si>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</si>
  <si>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</si>
  <si>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</si>
  <si>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</si>
  <si>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</si>
  <si>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</si>
  <si>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</si>
  <si>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</si>
  <si>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</si>
  <si>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</si>
  <si>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</si>
  <si>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</si>
  <si>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</si>
  <si>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</si>
  <si>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</si>
  <si>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</si>
  <si>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</si>
  <si>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</si>
  <si>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</si>
  <si>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</si>
  <si>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</si>
  <si>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</si>
  <si>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</si>
  <si>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</si>
  <si>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</si>
  <si>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</si>
  <si>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</si>
  <si>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</si>
  <si>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</si>
  <si>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</si>
  <si>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</si>
  <si>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</si>
  <si>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</si>
  <si>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</si>
  <si>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</si>
  <si>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</si>
  <si>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</si>
  <si>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</si>
  <si>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</si>
  <si>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</si>
  <si>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</si>
  <si>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</si>
  <si>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</si>
  <si>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</si>
  <si>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Samsung SDS Co., Ltd.</t>
  </si>
  <si>
    <t>018260.KS</t>
  </si>
  <si>
    <t>IT Services / Technology</t>
  </si>
  <si>
    <t>FY2025</t>
  </si>
  <si>
    <t>FY2024</t>
  </si>
  <si>
    <t>https://www.samsungsds.com/en/investor/financial_info/reviewed-financial-statements.html</t>
  </si>
  <si>
    <t>KRW in millions</t>
  </si>
  <si>
    <t>9.0% (Class working WACC assumption for major Asian tech-service firms)</t>
  </si>
  <si>
    <t>171,500 KRW (KRX closing price, December 30, 2025; source: Korea Exchange)</t>
  </si>
  <si>
    <t>77.38 M (M shares — total outstanding common stock; source: Samsung SDS 2025 Audit Report Notes)</t>
  </si>
  <si>
    <t>27.25% (Income Tax Expense ₩293,121M ÷ Profit Before Income Tax Expense ₩1,075,790M; source: FY2025 Audit Report, Consolidated Statements of Comprehensive Income)</t>
  </si>
  <si>
    <t>Company Name</t>
  </si>
  <si>
    <t>Stock Ticker</t>
  </si>
  <si>
    <t>Exchange</t>
  </si>
  <si>
    <t>Korea Exchange (KRX)</t>
  </si>
  <si>
    <t>Information Technology Services / Digital Transformation / Logistics</t>
  </si>
  <si>
    <t>Country</t>
  </si>
  <si>
    <t>South Korea</t>
  </si>
  <si>
    <t>Fiscal Year End</t>
  </si>
  <si>
    <t>December 31, 2025</t>
  </si>
  <si>
    <t>Financial Statement Type</t>
  </si>
  <si>
    <t>Consolidated Financial Statements</t>
  </si>
  <si>
    <t>Reporting Standard</t>
  </si>
  <si>
    <t>Korean IFRS</t>
  </si>
  <si>
    <t>Currency</t>
  </si>
  <si>
    <t>Korean Won (KRW)</t>
  </si>
  <si>
    <t>KRW (full amount)</t>
  </si>
  <si>
    <t>Years Used</t>
  </si>
  <si>
    <t>FY2025 &amp; FY2024</t>
  </si>
  <si>
    <t>Source Type</t>
  </si>
  <si>
    <t>Audited Annual Report</t>
  </si>
  <si>
    <t>Auditor</t>
  </si>
  <si>
    <t>Samil PricewaterhouseCoopers (PwC)</t>
  </si>
  <si>
    <t>Audit Opinion</t>
  </si>
  <si>
    <t>Unqualified Opinion</t>
  </si>
  <si>
    <t>Company Website</t>
  </si>
  <si>
    <t>https://www.samsungsds.com</t>
  </si>
  <si>
    <t>Investor Relations Source</t>
  </si>
  <si>
    <t>https://www.samsungsds.com/en/investor</t>
  </si>
  <si>
    <t>Nguyen Lan Anh</t>
  </si>
  <si>
    <t>BUS 629 - International Management Finance</t>
  </si>
  <si>
    <t>Student Name</t>
  </si>
  <si>
    <t>https://www.samsungsds.com/en/investor/financial_info/about_ir_fif.html</t>
  </si>
  <si>
    <t>Supplemental Data</t>
  </si>
  <si>
    <t>Course Information</t>
  </si>
  <si>
    <t>── Student Documentation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</si>
</sst>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2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1" fontId="1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  <xf numFmtId="0" fontId="20" fillId="0" borderId="0" xfId="2" applyAlignment="1">
      <alignment vertical="top" wrapText="1"/>
    </xf>
    <xf numFmtId="41" fontId="0" fillId="0" borderId="0" xfId="1" applyFont="1"/>
    <xf numFmtId="0" fontId="6" fillId="8" borderId="0" xfId="0" applyFont="1" applyFill="1" applyAlignment="1">
      <alignment vertical="top" wrapText="1"/>
    </xf>
    <xf numFmtId="0" fontId="6" fillId="8" borderId="0" xfId="0" applyFont="1" applyFill="1" applyAlignment="1">
      <alignment horizontal="left" vertical="top" wrapText="1"/>
    </xf>
    <xf numFmtId="0" fontId="21" fillId="0" borderId="0" xfId="0" applyFont="1"/>
    <xf numFmtId="0" fontId="20" fillId="0" borderId="0" xfId="2"/>
    <xf numFmtId="0" fontId="0" fillId="0" borderId="0" xfId="0" applyFont="1"/>
    <xf numFmtId="0" fontId="6" fillId="0" borderId="0" xfId="0" applyFont="1" applyAlignment="1">
      <alignment vertical="top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sds.com/en/investor/financial_info/reviewed-financial-statements.html" TargetMode="External"/><Relationship Id="rId2" Type="http://schemas.openxmlformats.org/officeDocument/2006/relationships/hyperlink" Target="https://www.samsungsds.com/en/investor" TargetMode="External"/><Relationship Id="rId1" Type="http://schemas.openxmlformats.org/officeDocument/2006/relationships/hyperlink" Target="https://www.samsungsds.com/" TargetMode="External"/><Relationship Id="rId4" Type="http://schemas.openxmlformats.org/officeDocument/2006/relationships/hyperlink" Target="https://www.samsungsds.com/en/investor/financial_info/about_ir_fif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sds.com/en/investor/financial_info/reviewed-financial-stateme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3"/>
  <sheetViews>
    <sheetView showGridLines="0" topLeftCell="A34" workbookViewId="0">
      <selection activeCell="C58" sqref="C58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45" t="s">
        <v>157</v>
      </c>
      <c r="C4" s="46"/>
    </row>
    <row r="5" spans="2:3" ht="26" customHeight="1" x14ac:dyDescent="0.3">
      <c r="B5" s="49" t="s">
        <v>158</v>
      </c>
      <c r="C5" s="46"/>
    </row>
    <row r="6" spans="2:3" ht="18" customHeight="1" x14ac:dyDescent="0.2">
      <c r="B6" s="47" t="s">
        <v>159</v>
      </c>
      <c r="C6" s="46"/>
    </row>
    <row r="7" spans="2:3" ht="4" customHeight="1" x14ac:dyDescent="0.2">
      <c r="B7" s="2"/>
      <c r="C7" s="2"/>
    </row>
    <row r="9" spans="2:3" ht="19.5" customHeight="1" x14ac:dyDescent="0.2">
      <c r="B9" s="48" t="s">
        <v>160</v>
      </c>
      <c r="C9" s="46"/>
    </row>
    <row r="10" spans="2:3" ht="18" customHeight="1" x14ac:dyDescent="0.2">
      <c r="B10" s="3" t="s">
        <v>161</v>
      </c>
      <c r="C10" s="4" t="s">
        <v>162</v>
      </c>
    </row>
    <row r="11" spans="2:3" ht="18" customHeight="1" x14ac:dyDescent="0.2">
      <c r="B11" s="3" t="s">
        <v>163</v>
      </c>
      <c r="C11" s="4" t="s">
        <v>164</v>
      </c>
    </row>
    <row r="12" spans="2:3" ht="18" customHeight="1" x14ac:dyDescent="0.2">
      <c r="B12" s="3" t="s">
        <v>165</v>
      </c>
      <c r="C12" s="4" t="s">
        <v>166</v>
      </c>
    </row>
    <row r="13" spans="2:3" ht="18" customHeight="1" x14ac:dyDescent="0.2">
      <c r="B13" s="3" t="s">
        <v>167</v>
      </c>
      <c r="C13" s="4" t="s">
        <v>168</v>
      </c>
    </row>
    <row r="14" spans="2:3" ht="18" customHeight="1" x14ac:dyDescent="0.2">
      <c r="B14" s="3" t="s">
        <v>169</v>
      </c>
      <c r="C14" s="4" t="s">
        <v>170</v>
      </c>
    </row>
    <row r="15" spans="2:3" ht="18" customHeight="1" x14ac:dyDescent="0.2">
      <c r="B15" s="3" t="s">
        <v>171</v>
      </c>
      <c r="C15" s="4" t="s">
        <v>172</v>
      </c>
    </row>
    <row r="17" spans="2:3" ht="19.5" customHeight="1" x14ac:dyDescent="0.2">
      <c r="B17" s="48" t="s">
        <v>173</v>
      </c>
      <c r="C17" s="46"/>
    </row>
    <row r="18" spans="2:3" ht="16.5" customHeight="1" x14ac:dyDescent="0.2">
      <c r="B18" s="5" t="s">
        <v>174</v>
      </c>
      <c r="C18" s="5" t="s">
        <v>175</v>
      </c>
    </row>
    <row r="19" spans="2:3" ht="30" customHeight="1" x14ac:dyDescent="0.2">
      <c r="B19" s="6" t="s">
        <v>176</v>
      </c>
      <c r="C19" s="7" t="s">
        <v>177</v>
      </c>
    </row>
    <row r="20" spans="2:3" ht="30" customHeight="1" x14ac:dyDescent="0.2">
      <c r="B20" s="8" t="s">
        <v>178</v>
      </c>
      <c r="C20" s="7" t="s">
        <v>179</v>
      </c>
    </row>
    <row r="21" spans="2:3" ht="30" customHeight="1" x14ac:dyDescent="0.2">
      <c r="B21" s="9" t="s">
        <v>180</v>
      </c>
      <c r="C21" s="7" t="s">
        <v>181</v>
      </c>
    </row>
    <row r="22" spans="2:3" ht="30" customHeight="1" x14ac:dyDescent="0.2">
      <c r="B22" s="10" t="s">
        <v>182</v>
      </c>
      <c r="C22" s="7" t="s">
        <v>183</v>
      </c>
    </row>
    <row r="24" spans="2:3" ht="19.5" customHeight="1" x14ac:dyDescent="0.2">
      <c r="B24" s="48" t="s">
        <v>184</v>
      </c>
      <c r="C24" s="46"/>
    </row>
    <row r="25" spans="2:3" ht="16.5" customHeight="1" x14ac:dyDescent="0.2">
      <c r="B25" s="5" t="s">
        <v>185</v>
      </c>
      <c r="C25" s="5" t="s">
        <v>175</v>
      </c>
    </row>
    <row r="26" spans="2:3" ht="24" customHeight="1" x14ac:dyDescent="0.2">
      <c r="B26" s="11" t="s">
        <v>186</v>
      </c>
      <c r="C26" s="7" t="s">
        <v>187</v>
      </c>
    </row>
    <row r="27" spans="2:3" ht="24" customHeight="1" x14ac:dyDescent="0.2">
      <c r="B27" s="11" t="s">
        <v>188</v>
      </c>
      <c r="C27" s="7" t="s">
        <v>189</v>
      </c>
    </row>
    <row r="28" spans="2:3" ht="24" customHeight="1" x14ac:dyDescent="0.2">
      <c r="B28" s="11" t="s">
        <v>190</v>
      </c>
      <c r="C28" s="7" t="s">
        <v>191</v>
      </c>
    </row>
    <row r="29" spans="2:3" ht="24" customHeight="1" x14ac:dyDescent="0.2">
      <c r="B29" s="11" t="s">
        <v>192</v>
      </c>
      <c r="C29" s="7" t="s">
        <v>193</v>
      </c>
    </row>
    <row r="30" spans="2:3" ht="24" customHeight="1" x14ac:dyDescent="0.2">
      <c r="B30" s="11" t="s">
        <v>194</v>
      </c>
      <c r="C30" s="7" t="s">
        <v>195</v>
      </c>
    </row>
    <row r="31" spans="2:3" ht="24" customHeight="1" x14ac:dyDescent="0.2">
      <c r="B31" s="11" t="s">
        <v>196</v>
      </c>
      <c r="C31" s="7" t="s">
        <v>197</v>
      </c>
    </row>
    <row r="32" spans="2:3" ht="24" customHeight="1" x14ac:dyDescent="0.2">
      <c r="B32" s="11" t="s">
        <v>198</v>
      </c>
      <c r="C32" s="7" t="s">
        <v>199</v>
      </c>
    </row>
    <row r="33" spans="2:3" ht="24" customHeight="1" x14ac:dyDescent="0.2">
      <c r="B33" s="11" t="s">
        <v>200</v>
      </c>
      <c r="C33" s="7" t="s">
        <v>201</v>
      </c>
    </row>
    <row r="36" spans="2:3" ht="19.5" customHeight="1" x14ac:dyDescent="0.2">
      <c r="B36" s="48" t="s">
        <v>202</v>
      </c>
      <c r="C36" s="46"/>
    </row>
    <row r="37" spans="2:3" ht="15" customHeight="1" x14ac:dyDescent="0.2">
      <c r="B37" s="12" t="s">
        <v>203</v>
      </c>
      <c r="C37" s="13" t="s">
        <v>204</v>
      </c>
    </row>
    <row r="38" spans="2:3" ht="15" customHeight="1" x14ac:dyDescent="0.2">
      <c r="B38" s="12" t="s">
        <v>205</v>
      </c>
      <c r="C38" s="13" t="s">
        <v>206</v>
      </c>
    </row>
    <row r="41" spans="2:3" x14ac:dyDescent="0.2">
      <c r="B41" s="50" t="s">
        <v>207</v>
      </c>
      <c r="C41" s="46"/>
    </row>
    <row r="43" spans="2:3" x14ac:dyDescent="0.2">
      <c r="C43" s="56" t="s">
        <v>358</v>
      </c>
    </row>
    <row r="44" spans="2:3" x14ac:dyDescent="0.2">
      <c r="B44" s="56" t="s">
        <v>357</v>
      </c>
      <c r="C44" s="56" t="s">
        <v>353</v>
      </c>
    </row>
    <row r="45" spans="2:3" x14ac:dyDescent="0.2">
      <c r="B45" s="58" t="s">
        <v>354</v>
      </c>
      <c r="C45" s="58" t="s">
        <v>352</v>
      </c>
    </row>
    <row r="46" spans="2:3" x14ac:dyDescent="0.2">
      <c r="B46" t="s">
        <v>324</v>
      </c>
      <c r="C46" t="s">
        <v>313</v>
      </c>
    </row>
    <row r="47" spans="2:3" x14ac:dyDescent="0.2">
      <c r="B47" t="s">
        <v>325</v>
      </c>
      <c r="C47" t="s">
        <v>314</v>
      </c>
    </row>
    <row r="48" spans="2:3" x14ac:dyDescent="0.2">
      <c r="B48" t="s">
        <v>326</v>
      </c>
      <c r="C48" t="s">
        <v>327</v>
      </c>
    </row>
    <row r="49" spans="2:3" x14ac:dyDescent="0.2">
      <c r="B49" t="s">
        <v>289</v>
      </c>
      <c r="C49" t="s">
        <v>328</v>
      </c>
    </row>
    <row r="50" spans="2:3" x14ac:dyDescent="0.2">
      <c r="B50" t="s">
        <v>329</v>
      </c>
      <c r="C50" t="s">
        <v>330</v>
      </c>
    </row>
    <row r="51" spans="2:3" x14ac:dyDescent="0.2">
      <c r="B51" t="s">
        <v>331</v>
      </c>
      <c r="C51" t="s">
        <v>332</v>
      </c>
    </row>
    <row r="52" spans="2:3" x14ac:dyDescent="0.2">
      <c r="B52" t="s">
        <v>333</v>
      </c>
      <c r="C52" t="s">
        <v>334</v>
      </c>
    </row>
    <row r="53" spans="2:3" x14ac:dyDescent="0.2">
      <c r="B53" t="s">
        <v>335</v>
      </c>
      <c r="C53" t="s">
        <v>336</v>
      </c>
    </row>
    <row r="54" spans="2:3" x14ac:dyDescent="0.2">
      <c r="B54" t="s">
        <v>337</v>
      </c>
      <c r="C54" t="s">
        <v>338</v>
      </c>
    </row>
    <row r="55" spans="2:3" x14ac:dyDescent="0.2">
      <c r="B55" t="s">
        <v>293</v>
      </c>
      <c r="C55" t="s">
        <v>339</v>
      </c>
    </row>
    <row r="56" spans="2:3" x14ac:dyDescent="0.2">
      <c r="B56" t="s">
        <v>340</v>
      </c>
      <c r="C56" t="s">
        <v>341</v>
      </c>
    </row>
    <row r="57" spans="2:3" x14ac:dyDescent="0.2">
      <c r="B57" t="s">
        <v>342</v>
      </c>
      <c r="C57" t="s">
        <v>343</v>
      </c>
    </row>
    <row r="58" spans="2:3" x14ac:dyDescent="0.2">
      <c r="B58" t="s">
        <v>344</v>
      </c>
      <c r="C58" t="s">
        <v>345</v>
      </c>
    </row>
    <row r="59" spans="2:3" x14ac:dyDescent="0.2">
      <c r="B59" t="s">
        <v>346</v>
      </c>
      <c r="C59" t="s">
        <v>347</v>
      </c>
    </row>
    <row r="60" spans="2:3" x14ac:dyDescent="0.2">
      <c r="B60" t="s">
        <v>348</v>
      </c>
      <c r="C60" s="57" t="s">
        <v>349</v>
      </c>
    </row>
    <row r="61" spans="2:3" x14ac:dyDescent="0.2">
      <c r="B61" t="s">
        <v>350</v>
      </c>
      <c r="C61" s="57" t="s">
        <v>351</v>
      </c>
    </row>
    <row r="62" spans="2:3" ht="32" x14ac:dyDescent="0.2">
      <c r="B62" s="59" t="s">
        <v>292</v>
      </c>
      <c r="C62" s="52" t="s">
        <v>318</v>
      </c>
    </row>
    <row r="63" spans="2:3" x14ac:dyDescent="0.2">
      <c r="B63" t="s">
        <v>356</v>
      </c>
      <c r="C63" s="57" t="s">
        <v>355</v>
      </c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hyperlinks>
    <hyperlink ref="C60" r:id="rId1" display="https://www.samsungsds.com/" xr:uid="{02478F19-47B5-CE4B-B5BA-DF4299CAB42B}"/>
    <hyperlink ref="C61" r:id="rId2" xr:uid="{BC5D5F3A-23F4-6543-AD71-DCF57E9A0BCB}"/>
    <hyperlink ref="C62" r:id="rId3" xr:uid="{E45B88E3-5EF9-1044-90DB-9E0D380E6AC6}"/>
    <hyperlink ref="C63" r:id="rId4" xr:uid="{7FCD084A-C657-8647-BEA4-38F10515CCE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29" sqref="F29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3">
      <c r="B2" s="14" t="s">
        <v>208</v>
      </c>
    </row>
    <row r="3" spans="2:8" x14ac:dyDescent="0.2">
      <c r="B3" s="15" t="s">
        <v>209</v>
      </c>
    </row>
    <row r="5" spans="2:8" ht="16.5" customHeight="1" x14ac:dyDescent="0.2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2">
      <c r="B6" s="18" t="s">
        <v>214</v>
      </c>
      <c r="F6" s="18" t="s">
        <v>215</v>
      </c>
    </row>
    <row r="7" spans="2:8" ht="15" customHeight="1" x14ac:dyDescent="0.2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2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2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2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2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2">
      <c r="F12" s="12" t="s">
        <v>60</v>
      </c>
      <c r="G12" s="19"/>
      <c r="H12" s="19"/>
    </row>
    <row r="13" spans="2:8" ht="15" customHeight="1" x14ac:dyDescent="0.2">
      <c r="B13" s="18" t="s">
        <v>225</v>
      </c>
      <c r="F13" s="12" t="s">
        <v>226</v>
      </c>
      <c r="G13" s="19"/>
      <c r="H13" s="19"/>
    </row>
    <row r="14" spans="2:8" ht="15" customHeight="1" x14ac:dyDescent="0.2">
      <c r="B14" s="12" t="s">
        <v>227</v>
      </c>
      <c r="C14" s="19"/>
      <c r="D14" s="19"/>
    </row>
    <row r="15" spans="2:8" ht="15" customHeight="1" x14ac:dyDescent="0.2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2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2">
      <c r="F17" s="18" t="s">
        <v>231</v>
      </c>
    </row>
    <row r="18" spans="2:8" ht="15" customHeight="1" x14ac:dyDescent="0.2">
      <c r="B18" s="18" t="s">
        <v>232</v>
      </c>
      <c r="F18" s="12" t="s">
        <v>233</v>
      </c>
      <c r="G18" s="19"/>
      <c r="H18" s="19"/>
    </row>
    <row r="19" spans="2:8" ht="15" customHeight="1" x14ac:dyDescent="0.2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2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2"/>
    <row r="23" spans="2:8" ht="16.5" customHeight="1" x14ac:dyDescent="0.2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240</v>
      </c>
    </row>
    <row r="3" spans="2:4" x14ac:dyDescent="0.2">
      <c r="B3" s="15" t="s">
        <v>241</v>
      </c>
    </row>
    <row r="5" spans="2:4" ht="16.5" customHeight="1" x14ac:dyDescent="0.2">
      <c r="B5" s="23" t="s">
        <v>242</v>
      </c>
      <c r="C5" s="23" t="s">
        <v>243</v>
      </c>
      <c r="D5" s="23" t="s">
        <v>244</v>
      </c>
    </row>
    <row r="6" spans="2:4" ht="15" customHeight="1" x14ac:dyDescent="0.2">
      <c r="B6" s="12" t="s">
        <v>245</v>
      </c>
      <c r="C6" s="19"/>
      <c r="D6" s="24">
        <v>1</v>
      </c>
    </row>
    <row r="7" spans="2:4" ht="15" customHeight="1" x14ac:dyDescent="0.2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2">
      <c r="B8" s="12" t="s">
        <v>247</v>
      </c>
      <c r="C8" s="19"/>
      <c r="D8" s="25" t="str">
        <f t="shared" si="0"/>
        <v/>
      </c>
    </row>
    <row r="9" spans="2:4" ht="15" customHeight="1" x14ac:dyDescent="0.2">
      <c r="B9" s="12" t="s">
        <v>248</v>
      </c>
      <c r="C9" s="19"/>
      <c r="D9" s="25" t="str">
        <f t="shared" si="0"/>
        <v/>
      </c>
    </row>
    <row r="10" spans="2:4" ht="15" customHeight="1" x14ac:dyDescent="0.2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2">
      <c r="B11" s="12" t="s">
        <v>250</v>
      </c>
      <c r="C11" s="19"/>
      <c r="D11" s="25" t="str">
        <f t="shared" si="0"/>
        <v/>
      </c>
    </row>
    <row r="12" spans="2:4" ht="15" customHeight="1" x14ac:dyDescent="0.2">
      <c r="B12" s="12" t="s">
        <v>251</v>
      </c>
      <c r="C12" s="19"/>
      <c r="D12" s="25" t="str">
        <f t="shared" si="0"/>
        <v/>
      </c>
    </row>
    <row r="13" spans="2:4" ht="15" customHeight="1" x14ac:dyDescent="0.2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2">
      <c r="B14" s="12" t="s">
        <v>253</v>
      </c>
      <c r="C14" s="19"/>
      <c r="D14" s="25" t="str">
        <f t="shared" si="0"/>
        <v/>
      </c>
    </row>
    <row r="15" spans="2:4" ht="16.5" customHeight="1" x14ac:dyDescent="0.2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2">
      <c r="B17" s="18" t="s">
        <v>255</v>
      </c>
    </row>
    <row r="18" spans="2:4" ht="15" customHeight="1" x14ac:dyDescent="0.2">
      <c r="B18" s="12" t="s">
        <v>256</v>
      </c>
      <c r="C18" s="19"/>
      <c r="D18" s="25" t="str">
        <f>IFERROR(C18/$C$6,"")</f>
        <v/>
      </c>
    </row>
    <row r="19" spans="2:4" ht="15" customHeight="1" x14ac:dyDescent="0.2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258</v>
      </c>
    </row>
    <row r="3" spans="2:4" x14ac:dyDescent="0.2">
      <c r="B3" s="15" t="s">
        <v>241</v>
      </c>
    </row>
    <row r="5" spans="2:4" ht="16.5" customHeight="1" x14ac:dyDescent="0.2">
      <c r="B5" s="23" t="s">
        <v>242</v>
      </c>
      <c r="C5" s="23" t="s">
        <v>243</v>
      </c>
      <c r="D5" s="23" t="s">
        <v>259</v>
      </c>
    </row>
    <row r="6" spans="2:4" ht="15" customHeight="1" x14ac:dyDescent="0.2">
      <c r="B6" s="18" t="s">
        <v>260</v>
      </c>
      <c r="D6" s="15"/>
    </row>
    <row r="7" spans="2:4" ht="15" customHeight="1" x14ac:dyDescent="0.2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2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2">
      <c r="B9" s="28" t="s">
        <v>264</v>
      </c>
      <c r="D9" s="15"/>
    </row>
    <row r="10" spans="2:4" ht="15" customHeight="1" x14ac:dyDescent="0.2">
      <c r="B10" s="12" t="s">
        <v>265</v>
      </c>
      <c r="C10" s="19"/>
      <c r="D10" s="15" t="s">
        <v>266</v>
      </c>
    </row>
    <row r="11" spans="2:4" ht="15" customHeight="1" x14ac:dyDescent="0.2">
      <c r="B11" s="12" t="s">
        <v>267</v>
      </c>
      <c r="C11" s="19"/>
      <c r="D11" s="15" t="s">
        <v>266</v>
      </c>
    </row>
    <row r="12" spans="2:4" ht="15" customHeight="1" x14ac:dyDescent="0.2">
      <c r="B12" s="12" t="s">
        <v>268</v>
      </c>
      <c r="C12" s="19"/>
      <c r="D12" s="15" t="s">
        <v>266</v>
      </c>
    </row>
    <row r="13" spans="2:4" ht="15" customHeight="1" x14ac:dyDescent="0.2">
      <c r="B13" s="12" t="s">
        <v>269</v>
      </c>
      <c r="C13" s="19"/>
      <c r="D13" s="15" t="s">
        <v>266</v>
      </c>
    </row>
    <row r="14" spans="2:4" ht="15" customHeight="1" x14ac:dyDescent="0.2">
      <c r="B14" s="12" t="s">
        <v>270</v>
      </c>
      <c r="C14" s="19"/>
      <c r="D14" s="15" t="s">
        <v>266</v>
      </c>
    </row>
    <row r="15" spans="2:4" ht="15" customHeight="1" x14ac:dyDescent="0.2">
      <c r="B15" s="20" t="s">
        <v>271</v>
      </c>
      <c r="C15" s="21">
        <f>SUM(C10:C14)</f>
        <v>0</v>
      </c>
      <c r="D15" s="15"/>
    </row>
    <row r="16" spans="2:4" ht="16.5" customHeight="1" x14ac:dyDescent="0.2">
      <c r="B16" s="5" t="s">
        <v>272</v>
      </c>
      <c r="C16" s="22">
        <f>C7+C8+C15</f>
        <v>0</v>
      </c>
      <c r="D16" s="15"/>
    </row>
    <row r="17" spans="2:4" x14ac:dyDescent="0.2">
      <c r="D17" s="15"/>
    </row>
    <row r="18" spans="2:4" ht="15" customHeight="1" x14ac:dyDescent="0.2">
      <c r="B18" s="18" t="s">
        <v>273</v>
      </c>
      <c r="D18" s="15"/>
    </row>
    <row r="19" spans="2:4" ht="15" customHeight="1" x14ac:dyDescent="0.2">
      <c r="B19" s="12" t="s">
        <v>274</v>
      </c>
      <c r="C19" s="19"/>
      <c r="D19" s="15"/>
    </row>
    <row r="20" spans="2:4" ht="15" customHeight="1" x14ac:dyDescent="0.2">
      <c r="B20" s="12" t="s">
        <v>275</v>
      </c>
      <c r="C20" s="19"/>
      <c r="D20" s="15"/>
    </row>
    <row r="21" spans="2:4" ht="15" customHeight="1" x14ac:dyDescent="0.2">
      <c r="B21" s="12" t="s">
        <v>276</v>
      </c>
      <c r="C21" s="19"/>
      <c r="D21" s="15"/>
    </row>
    <row r="22" spans="2:4" ht="16.5" customHeight="1" x14ac:dyDescent="0.2">
      <c r="B22" s="5" t="s">
        <v>277</v>
      </c>
      <c r="C22" s="22">
        <f>SUM(C19:C21)</f>
        <v>0</v>
      </c>
      <c r="D22" s="15"/>
    </row>
    <row r="23" spans="2:4" x14ac:dyDescent="0.2">
      <c r="D23" s="15"/>
    </row>
    <row r="24" spans="2:4" ht="15" customHeight="1" x14ac:dyDescent="0.2">
      <c r="B24" s="18" t="s">
        <v>278</v>
      </c>
      <c r="D24" s="15"/>
    </row>
    <row r="25" spans="2:4" ht="15" customHeight="1" x14ac:dyDescent="0.2">
      <c r="B25" s="12" t="s">
        <v>279</v>
      </c>
      <c r="C25" s="19"/>
      <c r="D25" s="15"/>
    </row>
    <row r="26" spans="2:4" ht="15" customHeight="1" x14ac:dyDescent="0.2">
      <c r="B26" s="12" t="s">
        <v>280</v>
      </c>
      <c r="C26" s="19"/>
      <c r="D26" s="15"/>
    </row>
    <row r="27" spans="2:4" ht="15" customHeight="1" x14ac:dyDescent="0.2">
      <c r="B27" s="12" t="s">
        <v>281</v>
      </c>
      <c r="C27" s="19"/>
      <c r="D27" s="15"/>
    </row>
    <row r="28" spans="2:4" ht="15" customHeight="1" x14ac:dyDescent="0.2">
      <c r="B28" s="12" t="s">
        <v>282</v>
      </c>
      <c r="C28" s="19"/>
      <c r="D28" s="15"/>
    </row>
    <row r="29" spans="2:4" ht="15" customHeight="1" x14ac:dyDescent="0.2">
      <c r="B29" s="12" t="s">
        <v>283</v>
      </c>
      <c r="C29" s="19"/>
      <c r="D29" s="15"/>
    </row>
    <row r="30" spans="2:4" ht="16.5" customHeight="1" x14ac:dyDescent="0.2">
      <c r="B30" s="5" t="s">
        <v>284</v>
      </c>
      <c r="C30" s="22">
        <f>SUM(C25:C29)</f>
        <v>0</v>
      </c>
      <c r="D30" s="15"/>
    </row>
    <row r="31" spans="2:4" x14ac:dyDescent="0.2">
      <c r="D31" s="15"/>
    </row>
    <row r="32" spans="2:4" ht="16.5" customHeight="1" x14ac:dyDescent="0.2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75" sqref="F75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3">
      <c r="B2" s="14" t="s">
        <v>0</v>
      </c>
    </row>
    <row r="3" spans="2:5" x14ac:dyDescent="0.2">
      <c r="B3" s="15" t="s">
        <v>1</v>
      </c>
    </row>
    <row r="5" spans="2:5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2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2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2">
      <c r="B8" s="12" t="s">
        <v>11</v>
      </c>
      <c r="C8" s="32"/>
      <c r="D8" s="30"/>
      <c r="E8" s="30" t="s">
        <v>12</v>
      </c>
    </row>
    <row r="9" spans="2:5" ht="15" customHeight="1" x14ac:dyDescent="0.2">
      <c r="B9" s="12" t="s">
        <v>13</v>
      </c>
      <c r="C9" s="33"/>
      <c r="D9" s="30"/>
      <c r="E9" s="30" t="s">
        <v>14</v>
      </c>
    </row>
    <row r="10" spans="2:5" ht="15" customHeight="1" x14ac:dyDescent="0.2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2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2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2">
      <c r="B14" s="51" t="s">
        <v>22</v>
      </c>
      <c r="C14" s="46"/>
      <c r="D14" s="46"/>
      <c r="E14" s="46"/>
    </row>
    <row r="15" spans="2:5" ht="15" customHeight="1" x14ac:dyDescent="0.2">
      <c r="B15" s="12" t="s">
        <v>23</v>
      </c>
      <c r="C15" s="36">
        <f>BAL_equity_shareholders_prior</f>
        <v>0</v>
      </c>
      <c r="D15" s="30" t="s">
        <v>24</v>
      </c>
      <c r="E15" s="30" t="s">
        <v>25</v>
      </c>
    </row>
    <row r="16" spans="2:5" ht="15" customHeight="1" x14ac:dyDescent="0.2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2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2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2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2">
      <c r="B21" s="51" t="s">
        <v>38</v>
      </c>
      <c r="C21" s="46"/>
      <c r="D21" s="46"/>
      <c r="E21" s="46"/>
    </row>
    <row r="22" spans="2:5" ht="15" customHeight="1" x14ac:dyDescent="0.2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2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2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2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2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2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2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2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2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2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2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2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2">
      <c r="B35" s="51" t="s">
        <v>75</v>
      </c>
      <c r="C35" s="46"/>
      <c r="D35" s="46"/>
      <c r="E35" s="46"/>
    </row>
    <row r="36" spans="2:6" ht="15" customHeight="1" x14ac:dyDescent="0.2">
      <c r="B36" s="12" t="s">
        <v>76</v>
      </c>
      <c r="C36" s="37">
        <f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2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2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2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2">
      <c r="B42" s="5" t="s">
        <v>89</v>
      </c>
      <c r="C42" s="1"/>
      <c r="D42" s="1"/>
      <c r="E42" s="1"/>
    </row>
    <row r="43" spans="2:6" ht="15" customHeight="1" x14ac:dyDescent="0.2">
      <c r="B43" s="12" t="s">
        <v>90</v>
      </c>
      <c r="C43" s="38"/>
      <c r="D43" s="30" t="s">
        <v>91</v>
      </c>
      <c r="E43" s="30"/>
    </row>
    <row r="44" spans="2:6" ht="15" customHeight="1" x14ac:dyDescent="0.2">
      <c r="B44" s="12" t="s">
        <v>92</v>
      </c>
      <c r="C44" s="39"/>
      <c r="D44" s="30" t="s">
        <v>93</v>
      </c>
      <c r="E44" s="30"/>
    </row>
    <row r="45" spans="2:6" ht="15" customHeight="1" x14ac:dyDescent="0.2">
      <c r="B45" s="12" t="s">
        <v>94</v>
      </c>
      <c r="C45" s="38"/>
      <c r="D45" s="30" t="s">
        <v>95</v>
      </c>
      <c r="E45" s="30"/>
    </row>
    <row r="46" spans="2:6" ht="16.5" customHeight="1" x14ac:dyDescent="0.2">
      <c r="B46" s="5" t="s">
        <v>96</v>
      </c>
      <c r="C46" s="1"/>
      <c r="D46" s="1"/>
      <c r="E46" s="1"/>
    </row>
    <row r="47" spans="2:6" ht="15" customHeight="1" x14ac:dyDescent="0.2">
      <c r="B47" s="12" t="s">
        <v>97</v>
      </c>
      <c r="C47" s="40"/>
      <c r="D47" s="30" t="s">
        <v>98</v>
      </c>
      <c r="E47" s="30"/>
    </row>
    <row r="48" spans="2:6" ht="15" customHeight="1" x14ac:dyDescent="0.2">
      <c r="B48" s="12" t="s">
        <v>99</v>
      </c>
      <c r="C48" s="40"/>
      <c r="D48" s="30" t="s">
        <v>100</v>
      </c>
      <c r="E48" s="30"/>
    </row>
    <row r="49" spans="2:5" ht="15" customHeight="1" x14ac:dyDescent="0.2">
      <c r="B49" s="12" t="s">
        <v>101</v>
      </c>
      <c r="C49" s="40"/>
      <c r="D49" s="30" t="s">
        <v>102</v>
      </c>
      <c r="E49" s="30"/>
    </row>
    <row r="50" spans="2:5" ht="15" customHeight="1" x14ac:dyDescent="0.2">
      <c r="B50" s="12" t="s">
        <v>103</v>
      </c>
      <c r="C50" s="40"/>
      <c r="D50" s="30" t="s">
        <v>104</v>
      </c>
      <c r="E50" s="30"/>
    </row>
    <row r="51" spans="2:5" ht="15" customHeight="1" x14ac:dyDescent="0.2">
      <c r="B51" s="12" t="s">
        <v>105</v>
      </c>
      <c r="C51" s="40"/>
      <c r="D51" s="30" t="s">
        <v>106</v>
      </c>
      <c r="E51" s="30"/>
    </row>
    <row r="52" spans="2:5" ht="15" customHeight="1" x14ac:dyDescent="0.2">
      <c r="B52" s="12" t="s">
        <v>107</v>
      </c>
      <c r="C52" s="40"/>
      <c r="D52" s="30" t="s">
        <v>108</v>
      </c>
      <c r="E52" s="30"/>
    </row>
    <row r="53" spans="2:5" ht="16.5" customHeight="1" x14ac:dyDescent="0.2">
      <c r="B53" s="5" t="s">
        <v>109</v>
      </c>
      <c r="C53" s="1"/>
      <c r="D53" s="1"/>
      <c r="E53" s="1"/>
    </row>
    <row r="54" spans="2:5" ht="15" customHeight="1" x14ac:dyDescent="0.2">
      <c r="B54" s="12" t="s">
        <v>110</v>
      </c>
      <c r="C54" s="39"/>
      <c r="D54" s="30" t="s">
        <v>111</v>
      </c>
      <c r="E54" s="30" t="s">
        <v>112</v>
      </c>
    </row>
    <row r="55" spans="2:5" ht="15" customHeight="1" x14ac:dyDescent="0.2">
      <c r="B55" s="12" t="s">
        <v>113</v>
      </c>
      <c r="C55" s="39"/>
      <c r="D55" s="30" t="s">
        <v>114</v>
      </c>
      <c r="E55" s="30"/>
    </row>
    <row r="56" spans="2:5" ht="15" customHeight="1" x14ac:dyDescent="0.2">
      <c r="B56" s="12" t="s">
        <v>115</v>
      </c>
      <c r="C56" s="41"/>
      <c r="D56" s="30" t="s">
        <v>116</v>
      </c>
      <c r="E56" s="30"/>
    </row>
    <row r="57" spans="2:5" ht="15" customHeight="1" x14ac:dyDescent="0.2">
      <c r="B57" s="12" t="s">
        <v>117</v>
      </c>
      <c r="C57" s="39"/>
      <c r="D57" s="30" t="s">
        <v>118</v>
      </c>
      <c r="E57" s="30"/>
    </row>
    <row r="58" spans="2:5" ht="15" customHeight="1" x14ac:dyDescent="0.2">
      <c r="B58" s="12" t="s">
        <v>119</v>
      </c>
      <c r="C58" s="41"/>
      <c r="D58" s="30" t="s">
        <v>120</v>
      </c>
      <c r="E58" s="30"/>
    </row>
    <row r="59" spans="2:5" ht="15" customHeight="1" x14ac:dyDescent="0.2">
      <c r="B59" s="12" t="s">
        <v>121</v>
      </c>
      <c r="C59" s="40"/>
      <c r="D59" s="30" t="s">
        <v>122</v>
      </c>
      <c r="E59" s="30"/>
    </row>
    <row r="60" spans="2:5" ht="15" customHeight="1" x14ac:dyDescent="0.2">
      <c r="B60" s="12" t="s">
        <v>123</v>
      </c>
      <c r="C60" s="40"/>
      <c r="D60" s="30" t="s">
        <v>124</v>
      </c>
      <c r="E60" s="30" t="s">
        <v>125</v>
      </c>
    </row>
    <row r="61" spans="2:5" ht="16.5" customHeight="1" x14ac:dyDescent="0.2">
      <c r="B61" s="5" t="s">
        <v>126</v>
      </c>
      <c r="C61" s="1"/>
      <c r="D61" s="1"/>
      <c r="E61" s="1"/>
    </row>
    <row r="62" spans="2:5" ht="15" customHeight="1" x14ac:dyDescent="0.2">
      <c r="B62" s="12" t="s">
        <v>127</v>
      </c>
      <c r="C62" s="40"/>
      <c r="D62" s="30" t="s">
        <v>128</v>
      </c>
      <c r="E62" s="30"/>
    </row>
    <row r="63" spans="2:5" ht="15" customHeight="1" x14ac:dyDescent="0.2">
      <c r="B63" s="12" t="s">
        <v>129</v>
      </c>
      <c r="C63" s="39"/>
      <c r="D63" s="30" t="s">
        <v>130</v>
      </c>
      <c r="E63" s="30"/>
    </row>
    <row r="64" spans="2:5" ht="15" customHeight="1" x14ac:dyDescent="0.2">
      <c r="B64" s="12" t="s">
        <v>131</v>
      </c>
      <c r="C64" s="40"/>
      <c r="D64" s="30" t="s">
        <v>132</v>
      </c>
      <c r="E64" s="30"/>
    </row>
    <row r="65" spans="2:6" ht="15" customHeight="1" x14ac:dyDescent="0.2">
      <c r="B65" s="12" t="s">
        <v>133</v>
      </c>
      <c r="C65" s="39"/>
      <c r="D65" s="30" t="s">
        <v>134</v>
      </c>
      <c r="E65" s="30"/>
    </row>
    <row r="66" spans="2:6" ht="15" customHeight="1" x14ac:dyDescent="0.2">
      <c r="B66" s="12" t="s">
        <v>135</v>
      </c>
      <c r="C66" s="39"/>
      <c r="D66" s="30" t="s">
        <v>136</v>
      </c>
      <c r="E66" s="30"/>
    </row>
    <row r="67" spans="2:6" ht="15" customHeight="1" x14ac:dyDescent="0.2">
      <c r="B67" s="12" t="s">
        <v>137</v>
      </c>
      <c r="C67" s="42"/>
      <c r="D67" s="30" t="s">
        <v>138</v>
      </c>
      <c r="E67" s="30" t="s">
        <v>139</v>
      </c>
    </row>
    <row r="68" spans="2:6" ht="15" customHeight="1" x14ac:dyDescent="0.2">
      <c r="B68" s="12" t="s">
        <v>140</v>
      </c>
      <c r="C68" s="39"/>
      <c r="D68" s="30" t="s">
        <v>141</v>
      </c>
      <c r="E68" s="30" t="s">
        <v>142</v>
      </c>
    </row>
    <row r="69" spans="2:6" ht="16.5" customHeight="1" x14ac:dyDescent="0.2">
      <c r="B69" s="5" t="s">
        <v>143</v>
      </c>
      <c r="C69" s="1"/>
      <c r="D69" s="1"/>
      <c r="E69" s="1"/>
    </row>
    <row r="70" spans="2:6" ht="15" customHeight="1" x14ac:dyDescent="0.2">
      <c r="B70" s="12" t="s">
        <v>144</v>
      </c>
      <c r="C70" s="40"/>
      <c r="D70" s="30" t="s">
        <v>145</v>
      </c>
      <c r="E70" s="30"/>
    </row>
    <row r="71" spans="2:6" ht="15" customHeight="1" x14ac:dyDescent="0.2">
      <c r="B71" s="12" t="s">
        <v>146</v>
      </c>
      <c r="C71" s="39"/>
      <c r="D71" s="30" t="s">
        <v>147</v>
      </c>
      <c r="E71" s="30"/>
    </row>
    <row r="72" spans="2:6" ht="15" customHeight="1" x14ac:dyDescent="0.2">
      <c r="B72" s="12" t="s">
        <v>148</v>
      </c>
      <c r="C72" s="39"/>
      <c r="D72" s="30" t="s">
        <v>149</v>
      </c>
      <c r="E72" s="30"/>
    </row>
    <row r="73" spans="2:6" ht="15" customHeight="1" x14ac:dyDescent="0.2">
      <c r="B73" s="12" t="s">
        <v>150</v>
      </c>
      <c r="C73" s="39"/>
      <c r="D73" s="30" t="s">
        <v>151</v>
      </c>
      <c r="E73" s="30"/>
    </row>
    <row r="74" spans="2:6" ht="16.5" customHeight="1" x14ac:dyDescent="0.2">
      <c r="B74" s="5" t="s">
        <v>152</v>
      </c>
      <c r="C74" s="1"/>
      <c r="D74" s="1"/>
      <c r="E74" s="1"/>
    </row>
    <row r="75" spans="2:6" ht="15" customHeight="1" x14ac:dyDescent="0.2">
      <c r="B75" s="12" t="s">
        <v>153</v>
      </c>
      <c r="C75" s="40"/>
      <c r="D75" s="30" t="s">
        <v>154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2">
      <c r="B76" s="12" t="s">
        <v>155</v>
      </c>
      <c r="C76" s="40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4"/>
  <sheetViews>
    <sheetView showGridLines="0" tabSelected="1" workbookViewId="0">
      <selection activeCell="E22" sqref="E22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70" customWidth="1"/>
    <col min="5" max="5" width="11.1640625" bestFit="1" customWidth="1"/>
  </cols>
  <sheetData>
    <row r="2" spans="2:5" ht="23" customHeight="1" x14ac:dyDescent="0.3">
      <c r="B2" s="14" t="s">
        <v>286</v>
      </c>
    </row>
    <row r="4" spans="2:5" x14ac:dyDescent="0.2">
      <c r="B4" s="43" t="s">
        <v>287</v>
      </c>
      <c r="C4" s="4" t="s">
        <v>313</v>
      </c>
    </row>
    <row r="5" spans="2:5" x14ac:dyDescent="0.2">
      <c r="B5" s="43" t="s">
        <v>288</v>
      </c>
      <c r="C5" s="4" t="s">
        <v>314</v>
      </c>
    </row>
    <row r="6" spans="2:5" x14ac:dyDescent="0.2">
      <c r="B6" s="43" t="s">
        <v>289</v>
      </c>
      <c r="C6" s="4" t="s">
        <v>315</v>
      </c>
    </row>
    <row r="7" spans="2:5" x14ac:dyDescent="0.2">
      <c r="B7" s="43" t="s">
        <v>290</v>
      </c>
      <c r="C7" s="4" t="s">
        <v>316</v>
      </c>
    </row>
    <row r="8" spans="2:5" x14ac:dyDescent="0.2">
      <c r="B8" s="43" t="s">
        <v>291</v>
      </c>
      <c r="C8" s="4" t="s">
        <v>317</v>
      </c>
    </row>
    <row r="9" spans="2:5" ht="32" x14ac:dyDescent="0.2">
      <c r="B9" s="43" t="s">
        <v>292</v>
      </c>
      <c r="C9" s="52" t="s">
        <v>318</v>
      </c>
    </row>
    <row r="10" spans="2:5" x14ac:dyDescent="0.2">
      <c r="B10" s="43" t="s">
        <v>293</v>
      </c>
      <c r="C10" s="4" t="s">
        <v>319</v>
      </c>
    </row>
    <row r="11" spans="2:5" ht="45" x14ac:dyDescent="0.2">
      <c r="B11" s="43" t="s">
        <v>294</v>
      </c>
      <c r="C11" s="54" t="s">
        <v>323</v>
      </c>
    </row>
    <row r="12" spans="2:5" x14ac:dyDescent="0.2">
      <c r="B12" s="43" t="s">
        <v>295</v>
      </c>
      <c r="C12" s="54" t="s">
        <v>320</v>
      </c>
    </row>
    <row r="13" spans="2:5" x14ac:dyDescent="0.2">
      <c r="B13" s="43" t="s">
        <v>296</v>
      </c>
      <c r="C13" s="55" t="s">
        <v>321</v>
      </c>
    </row>
    <row r="14" spans="2:5" ht="30" x14ac:dyDescent="0.2">
      <c r="B14" s="43" t="s">
        <v>297</v>
      </c>
      <c r="C14" s="54" t="s">
        <v>322</v>
      </c>
      <c r="E14" s="53"/>
    </row>
    <row r="16" spans="2:5" x14ac:dyDescent="0.2">
      <c r="B16" s="43" t="s">
        <v>298</v>
      </c>
      <c r="C16" s="4" t="s">
        <v>299</v>
      </c>
    </row>
    <row r="17" spans="2:3" ht="29" customHeight="1" x14ac:dyDescent="0.2">
      <c r="B17" s="43" t="s">
        <v>300</v>
      </c>
      <c r="C17" s="4" t="s">
        <v>301</v>
      </c>
    </row>
    <row r="18" spans="2:3" ht="29" customHeight="1" x14ac:dyDescent="0.2">
      <c r="B18" s="43" t="s">
        <v>302</v>
      </c>
      <c r="C18" s="4" t="s">
        <v>303</v>
      </c>
    </row>
    <row r="19" spans="2:3" ht="29" customHeight="1" x14ac:dyDescent="0.2">
      <c r="B19" s="43" t="s">
        <v>304</v>
      </c>
      <c r="C19" s="4" t="s">
        <v>305</v>
      </c>
    </row>
    <row r="20" spans="2:3" ht="29" customHeight="1" x14ac:dyDescent="0.2">
      <c r="B20" s="43" t="s">
        <v>306</v>
      </c>
      <c r="C20" s="4" t="s">
        <v>307</v>
      </c>
    </row>
    <row r="22" spans="2:3" x14ac:dyDescent="0.2">
      <c r="B22" s="43" t="s">
        <v>308</v>
      </c>
    </row>
    <row r="23" spans="2:3" ht="32" customHeight="1" x14ac:dyDescent="0.2">
      <c r="B23" s="43" t="s">
        <v>309</v>
      </c>
      <c r="C23" s="4" t="s">
        <v>310</v>
      </c>
    </row>
    <row r="24" spans="2:3" ht="45" customHeight="1" x14ac:dyDescent="0.2">
      <c r="B24" s="43" t="s">
        <v>311</v>
      </c>
      <c r="C24" s="4" t="s">
        <v>312</v>
      </c>
    </row>
  </sheetData>
  <hyperlinks>
    <hyperlink ref="C9" r:id="rId1" xr:uid="{FA49F238-E5EA-6645-992B-063FE3CD8A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Anh, Nguyen Lan - Business Unit Director, GSP</cp:lastModifiedBy>
  <dcterms:created xsi:type="dcterms:W3CDTF">2026-04-24T19:43:19Z</dcterms:created>
  <dcterms:modified xsi:type="dcterms:W3CDTF">2026-05-17T15:21:56Z</dcterms:modified>
</cp:coreProperties>
</file>